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Модель" sheetId="1" r:id="rId5"/>
    <sheet state="visible" name="Звіт про стійкість один" sheetId="2" r:id="rId6"/>
    <sheet state="hidden" name="__OpenSolverCache__" sheetId="3" r:id="rId7"/>
    <sheet state="hidden" name="__OpenSolver__" sheetId="4" r:id="rId8"/>
  </sheets>
  <definedNames/>
  <calcPr/>
</workbook>
</file>

<file path=xl/sharedStrings.xml><?xml version="1.0" encoding="utf-8"?>
<sst xmlns="http://schemas.openxmlformats.org/spreadsheetml/2006/main" count="63" uniqueCount="45">
  <si>
    <t>Microsoft Excel 16.0 Звіт про стійкість</t>
  </si>
  <si>
    <t>Модель: [Astro_TV_Model]Модель</t>
  </si>
  <si>
    <t>Оптимізаційна модель: Підприємство «Астро-ТВ» (Варіант 9)</t>
  </si>
  <si>
    <t>Змінні</t>
  </si>
  <si>
    <t>Клітинка</t>
  </si>
  <si>
    <t>Ім'я</t>
  </si>
  <si>
    <t>Кінцеве значення</t>
  </si>
  <si>
    <t>Зведена вартість</t>
  </si>
  <si>
    <t>Цільовий коефіцієнт</t>
  </si>
  <si>
    <t>Допустиме збільшення</t>
  </si>
  <si>
    <t>Допустиме зменшення</t>
  </si>
  <si>
    <t>$B$4</t>
  </si>
  <si>
    <t>План Astro (x1)</t>
  </si>
  <si>
    <t>Ресурс / Показник</t>
  </si>
  <si>
    <t>$C$4</t>
  </si>
  <si>
    <t>План Cosmo (x2)</t>
  </si>
  <si>
    <t>$D$4</t>
  </si>
  <si>
    <t>План Nova (x3)</t>
  </si>
  <si>
    <t>1E+30</t>
  </si>
  <si>
    <t>$E$4</t>
  </si>
  <si>
    <t>План Vega (x4)</t>
  </si>
  <si>
    <t>Astro (x1)</t>
  </si>
  <si>
    <t>Обмеження</t>
  </si>
  <si>
    <t>Cosmo (x2)</t>
  </si>
  <si>
    <t>Nova (x3)</t>
  </si>
  <si>
    <t>Vega (x4)</t>
  </si>
  <si>
    <t>Тіньова ціна</t>
  </si>
  <si>
    <t>Права частина</t>
  </si>
  <si>
    <t>Використано</t>
  </si>
  <si>
    <t>Знак</t>
  </si>
  <si>
    <t>$F$7</t>
  </si>
  <si>
    <t>Запас</t>
  </si>
  <si>
    <t>Конвеєр A, год</t>
  </si>
  <si>
    <t>План виробництва (шт./день)</t>
  </si>
  <si>
    <t>$F$8</t>
  </si>
  <si>
    <t>Конвеєр Б, год</t>
  </si>
  <si>
    <t>$F$9</t>
  </si>
  <si>
    <t>Цех кінескопів, год</t>
  </si>
  <si>
    <t>$F$10</t>
  </si>
  <si>
    <t>Цех корпусів, год</t>
  </si>
  <si>
    <t>$F$11</t>
  </si>
  <si>
    <t>Ділянка збирання, год</t>
  </si>
  <si>
    <t>Прибуток з одиниці, грн</t>
  </si>
  <si>
    <t>&lt;=</t>
  </si>
  <si>
    <t>Сумарний прибуток (F(x)), грн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</si>
</sst>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color theme="1"/>
      <name val="Calibri"/>
      <scheme val="minor"/>
    </font>
    <font>
      <b/>
      <sz val="14.0"/>
      <color rgb="FF1F497D"/>
      <name val="Calibri"/>
    </font>
    <font>
      <b/>
      <sz val="11.0"/>
      <color rgb="FFFFFFFF"/>
      <name val="Calibri"/>
    </font>
    <font>
      <b/>
      <sz val="11.0"/>
      <color theme="1"/>
      <name val="Calibri"/>
    </font>
    <font>
      <sz val="11.0"/>
      <color theme="1"/>
      <name val="Calibri"/>
    </font>
    <font>
      <b/>
      <sz val="12.0"/>
      <color rgb="FF0061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1F497D"/>
        <bgColor rgb="FF1F497D"/>
      </patternFill>
    </fill>
    <fill>
      <patternFill patternType="solid">
        <fgColor rgb="FFDCE6F1"/>
        <bgColor rgb="FFDCE6F1"/>
      </patternFill>
    </fill>
    <fill>
      <patternFill patternType="solid">
        <fgColor rgb="FFEBF1DE"/>
        <bgColor rgb="FFEBF1DE"/>
      </patternFill>
    </fill>
    <fill>
      <patternFill patternType="solid">
        <fgColor rgb="FFC6EFCE"/>
        <bgColor rgb="FFC6EFCE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2" numFmtId="0" xfId="0" applyFont="1"/>
    <xf borderId="1" fillId="2" fontId="3" numFmtId="0" xfId="0" applyAlignment="1" applyBorder="1" applyFill="1" applyFont="1">
      <alignment horizontal="center" vertical="center"/>
    </xf>
    <xf borderId="0" fillId="0" fontId="4" numFmtId="0" xfId="0" applyFont="1"/>
    <xf borderId="1" fillId="3" fontId="4" numFmtId="0" xfId="0" applyAlignment="1" applyBorder="1" applyFill="1" applyFont="1">
      <alignment horizontal="center" readingOrder="0" vertical="center"/>
    </xf>
    <xf borderId="0" fillId="0" fontId="5" numFmtId="0" xfId="0" applyAlignment="1" applyFont="1">
      <alignment horizontal="center" vertical="center"/>
    </xf>
    <xf borderId="0" fillId="0" fontId="5" numFmtId="0" xfId="0" applyFont="1"/>
    <xf borderId="0" fillId="0" fontId="1" numFmtId="0" xfId="0" applyFont="1"/>
    <xf borderId="1" fillId="4" fontId="5" numFmtId="0" xfId="0" applyAlignment="1" applyBorder="1" applyFill="1" applyFont="1">
      <alignment horizontal="center" vertical="center"/>
    </xf>
    <xf borderId="0" fillId="0" fontId="4" numFmtId="0" xfId="0" applyAlignment="1" applyFont="1">
      <alignment horizontal="center" vertical="center"/>
    </xf>
    <xf borderId="1" fillId="5" fontId="6" numFmtId="0" xfId="0" applyAlignment="1" applyBorder="1" applyFill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0.0"/>
    <col customWidth="1" min="2" max="5" width="14.0"/>
    <col customWidth="1" min="6" max="6" width="34.0"/>
    <col customWidth="1" min="7" max="8" width="14.0"/>
    <col customWidth="1" min="9" max="26" width="8.71"/>
  </cols>
  <sheetData>
    <row r="1">
      <c r="A1" s="3" t="s">
        <v>2</v>
      </c>
    </row>
    <row r="3">
      <c r="A3" s="4" t="s">
        <v>13</v>
      </c>
      <c r="B3" s="4" t="s">
        <v>21</v>
      </c>
      <c r="C3" s="4" t="s">
        <v>23</v>
      </c>
      <c r="D3" s="4" t="s">
        <v>24</v>
      </c>
      <c r="E3" s="4" t="s">
        <v>25</v>
      </c>
      <c r="F3" s="4" t="s">
        <v>28</v>
      </c>
      <c r="G3" s="4" t="s">
        <v>29</v>
      </c>
      <c r="H3" s="4" t="s">
        <v>31</v>
      </c>
    </row>
    <row r="4">
      <c r="A4" s="5" t="s">
        <v>33</v>
      </c>
      <c r="B4" s="6">
        <v>30.545454545454767</v>
      </c>
      <c r="C4" s="6">
        <v>281.8181818181814</v>
      </c>
      <c r="D4" s="6">
        <v>0.0</v>
      </c>
      <c r="E4" s="6">
        <v>0.0</v>
      </c>
    </row>
    <row r="5">
      <c r="A5" s="5" t="s">
        <v>42</v>
      </c>
      <c r="B5" s="7">
        <v>58.0</v>
      </c>
      <c r="C5" s="7">
        <v>39.0</v>
      </c>
      <c r="D5" s="7">
        <v>54.0</v>
      </c>
      <c r="E5" s="7">
        <v>16.0</v>
      </c>
    </row>
    <row r="7">
      <c r="A7" s="8" t="s">
        <v>32</v>
      </c>
      <c r="B7" s="7">
        <v>5.0</v>
      </c>
      <c r="C7" s="7">
        <v>2.0</v>
      </c>
      <c r="D7" s="7">
        <v>1.0</v>
      </c>
      <c r="E7" s="7">
        <v>2.0</v>
      </c>
      <c r="F7" s="10">
        <f t="shared" ref="F7:F11" si="1">SUMPRODUCT($B$4:$E$4, B7:E7)</f>
        <v>716.3636364</v>
      </c>
      <c r="G7" s="7" t="s">
        <v>43</v>
      </c>
      <c r="H7" s="11">
        <v>1147.0</v>
      </c>
    </row>
    <row r="8">
      <c r="A8" s="8" t="s">
        <v>35</v>
      </c>
      <c r="B8" s="7">
        <v>5.0</v>
      </c>
      <c r="C8" s="7">
        <v>0.0</v>
      </c>
      <c r="D8" s="7">
        <v>1.0</v>
      </c>
      <c r="E8" s="7">
        <v>3.0</v>
      </c>
      <c r="F8" s="10">
        <f t="shared" si="1"/>
        <v>152.7272727</v>
      </c>
      <c r="G8" s="7" t="s">
        <v>43</v>
      </c>
      <c r="H8" s="11">
        <v>1199.0</v>
      </c>
    </row>
    <row r="9">
      <c r="A9" s="8" t="s">
        <v>37</v>
      </c>
      <c r="B9" s="7">
        <v>5.0</v>
      </c>
      <c r="C9" s="7">
        <v>4.0</v>
      </c>
      <c r="D9" s="7">
        <v>6.0</v>
      </c>
      <c r="E9" s="7">
        <v>4.0</v>
      </c>
      <c r="F9" s="10">
        <f t="shared" si="1"/>
        <v>1280</v>
      </c>
      <c r="G9" s="7" t="s">
        <v>43</v>
      </c>
      <c r="H9" s="11">
        <v>1280.0</v>
      </c>
    </row>
    <row r="10">
      <c r="A10" s="8" t="s">
        <v>39</v>
      </c>
      <c r="B10" s="7">
        <v>4.0</v>
      </c>
      <c r="C10" s="7">
        <v>1.0</v>
      </c>
      <c r="D10" s="7">
        <v>1.0</v>
      </c>
      <c r="E10" s="7">
        <v>5.0</v>
      </c>
      <c r="F10" s="10">
        <f t="shared" si="1"/>
        <v>404</v>
      </c>
      <c r="G10" s="7" t="s">
        <v>43</v>
      </c>
      <c r="H10" s="11">
        <v>404.0</v>
      </c>
    </row>
    <row r="11">
      <c r="A11" s="8" t="s">
        <v>41</v>
      </c>
      <c r="B11" s="7">
        <v>6.0</v>
      </c>
      <c r="C11" s="7">
        <v>0.0</v>
      </c>
      <c r="D11" s="7">
        <v>3.0</v>
      </c>
      <c r="E11" s="7">
        <v>0.0</v>
      </c>
      <c r="F11" s="10">
        <f t="shared" si="1"/>
        <v>183.2727273</v>
      </c>
      <c r="G11" s="7" t="s">
        <v>43</v>
      </c>
      <c r="H11" s="11">
        <v>1170.0</v>
      </c>
    </row>
    <row r="14">
      <c r="A14" s="5" t="s">
        <v>44</v>
      </c>
      <c r="F14" s="12">
        <f>SUMPRODUCT($B$4:$E$4, B5:E5)</f>
        <v>12762.54545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2" t="s">
        <v>0</v>
      </c>
    </row>
    <row r="2">
      <c r="A2" s="2" t="s">
        <v>1</v>
      </c>
    </row>
    <row r="4">
      <c r="A4" s="2" t="s">
        <v>3</v>
      </c>
    </row>
    <row r="5">
      <c r="B5" s="2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  <c r="H5" s="2" t="s">
        <v>10</v>
      </c>
    </row>
    <row r="6">
      <c r="B6" s="2" t="s">
        <v>11</v>
      </c>
      <c r="C6" s="2" t="s">
        <v>12</v>
      </c>
      <c r="D6" s="2">
        <v>30.545455</v>
      </c>
      <c r="E6" s="2">
        <v>0.0</v>
      </c>
      <c r="F6" s="2">
        <v>58.0</v>
      </c>
      <c r="G6" s="2">
        <v>98.0</v>
      </c>
      <c r="H6" s="2">
        <v>9.25</v>
      </c>
    </row>
    <row r="7">
      <c r="B7" s="2" t="s">
        <v>14</v>
      </c>
      <c r="C7" s="2" t="s">
        <v>15</v>
      </c>
      <c r="D7" s="2">
        <v>281.818182</v>
      </c>
      <c r="E7" s="2">
        <v>0.0</v>
      </c>
      <c r="F7" s="2">
        <v>39.0</v>
      </c>
      <c r="G7" s="2">
        <v>7.4</v>
      </c>
      <c r="H7" s="2">
        <v>24.5</v>
      </c>
    </row>
    <row r="8">
      <c r="B8" s="2" t="s">
        <v>16</v>
      </c>
      <c r="C8" s="2" t="s">
        <v>17</v>
      </c>
      <c r="D8" s="2">
        <v>0.0</v>
      </c>
      <c r="E8" s="2">
        <v>-8.763636</v>
      </c>
      <c r="F8" s="2">
        <v>54.0</v>
      </c>
      <c r="G8" s="2">
        <v>8.763636</v>
      </c>
      <c r="H8" s="2" t="s">
        <v>18</v>
      </c>
    </row>
    <row r="9">
      <c r="B9" s="2" t="s">
        <v>19</v>
      </c>
      <c r="C9" s="2" t="s">
        <v>20</v>
      </c>
      <c r="D9" s="2">
        <v>0.0</v>
      </c>
      <c r="E9" s="2">
        <v>-41.436364</v>
      </c>
      <c r="F9" s="2">
        <v>16.0</v>
      </c>
      <c r="G9" s="2">
        <v>41.436364</v>
      </c>
      <c r="H9" s="2" t="s">
        <v>18</v>
      </c>
    </row>
    <row r="11">
      <c r="A11" s="2" t="s">
        <v>22</v>
      </c>
    </row>
    <row r="12">
      <c r="B12" s="2" t="s">
        <v>4</v>
      </c>
      <c r="C12" s="2" t="s">
        <v>5</v>
      </c>
      <c r="D12" s="2" t="s">
        <v>6</v>
      </c>
      <c r="E12" s="2" t="s">
        <v>26</v>
      </c>
      <c r="F12" s="2" t="s">
        <v>27</v>
      </c>
      <c r="G12" s="2" t="s">
        <v>9</v>
      </c>
      <c r="H12" s="2" t="s">
        <v>10</v>
      </c>
    </row>
    <row r="13">
      <c r="B13" s="2" t="s">
        <v>30</v>
      </c>
      <c r="C13" s="2" t="s">
        <v>32</v>
      </c>
      <c r="D13" s="2">
        <v>716.363636</v>
      </c>
      <c r="E13" s="2">
        <v>0.0</v>
      </c>
      <c r="F13" s="2">
        <v>1147.0</v>
      </c>
      <c r="G13" s="2" t="s">
        <v>18</v>
      </c>
      <c r="H13" s="2">
        <v>430.636364</v>
      </c>
    </row>
    <row r="14">
      <c r="B14" s="2" t="s">
        <v>34</v>
      </c>
      <c r="C14" s="2" t="s">
        <v>35</v>
      </c>
      <c r="D14" s="2">
        <v>152.727273</v>
      </c>
      <c r="E14" s="2">
        <v>0.0</v>
      </c>
      <c r="F14" s="2">
        <v>1199.0</v>
      </c>
      <c r="G14" s="2" t="s">
        <v>18</v>
      </c>
      <c r="H14" s="2">
        <v>1046.272727</v>
      </c>
    </row>
    <row r="15">
      <c r="B15" s="2" t="s">
        <v>36</v>
      </c>
      <c r="C15" s="2" t="s">
        <v>37</v>
      </c>
      <c r="D15" s="2">
        <v>1280.0</v>
      </c>
      <c r="E15" s="2">
        <v>8.909091</v>
      </c>
      <c r="F15" s="2">
        <v>1280.0</v>
      </c>
      <c r="G15" s="2">
        <v>336.0</v>
      </c>
      <c r="H15" s="2">
        <v>973.333333</v>
      </c>
    </row>
    <row r="16">
      <c r="B16" s="2" t="s">
        <v>38</v>
      </c>
      <c r="C16" s="2" t="s">
        <v>39</v>
      </c>
      <c r="D16" s="2">
        <v>404.0</v>
      </c>
      <c r="E16" s="2">
        <v>3.363636</v>
      </c>
      <c r="F16" s="2">
        <v>404.0</v>
      </c>
      <c r="G16" s="2">
        <v>243.333333</v>
      </c>
      <c r="H16" s="2">
        <v>84.0</v>
      </c>
    </row>
    <row r="17">
      <c r="B17" s="2" t="s">
        <v>40</v>
      </c>
      <c r="C17" s="2" t="s">
        <v>41</v>
      </c>
      <c r="D17" s="2">
        <v>183.272727</v>
      </c>
      <c r="E17" s="2">
        <v>0.0</v>
      </c>
      <c r="F17" s="2">
        <v>1170.0</v>
      </c>
      <c r="G17" s="2" t="s">
        <v>18</v>
      </c>
      <c r="H17" s="2">
        <v>986.727273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9" t="str">
        <f>ModelSheet='Модель'!A:Z</f>
        <v>#NAME?</v>
      </c>
    </row>
    <row r="2">
      <c r="A2" s="9" t="str">
        <f>OpenSolver_AdjNum=1</f>
        <v>#NAME?</v>
      </c>
    </row>
    <row r="3">
      <c r="A3" s="9" t="str">
        <f>OpenSolver_ChosenSolver=Google</f>
        <v>#NAME?</v>
      </c>
    </row>
    <row r="4">
      <c r="A4" s="9" t="str">
        <f>OpenSolver_FastBuild=0</f>
        <v>#NAME?</v>
      </c>
    </row>
    <row r="5">
      <c r="A5" s="9" t="str">
        <f>OpenSolver_LinearityCheck=1</f>
        <v>#NAME?</v>
      </c>
    </row>
    <row r="6">
      <c r="A6" s="9" t="str">
        <f>solver_adj='Модель'!B4:E4</f>
        <v>#NAME?</v>
      </c>
    </row>
    <row r="7">
      <c r="A7" s="9" t="str">
        <f>solver_lhs1='Модель'!F7:F11</f>
        <v>#NAME?</v>
      </c>
    </row>
    <row r="8">
      <c r="A8" s="9" t="str">
        <f>solver_neg=1</f>
        <v>#NAME?</v>
      </c>
    </row>
    <row r="9">
      <c r="A9" s="9" t="str">
        <f>solver_num=1</f>
        <v>#NAME?</v>
      </c>
    </row>
    <row r="10">
      <c r="A10" s="9" t="str">
        <f>solver_opt='Модель'!F14</f>
        <v>#NAME?</v>
      </c>
    </row>
    <row r="11">
      <c r="A11" s="9" t="str">
        <f>solver_rel1=1</f>
        <v>#NAME?</v>
      </c>
    </row>
    <row r="12">
      <c r="A12" s="9" t="str">
        <f>solver_rhs1='Модель'!H7:H11</f>
        <v>#NAME?</v>
      </c>
    </row>
    <row r="13">
      <c r="A13" s="9" t="str">
        <f>solver_sho=1</f>
        <v>#NAME?</v>
      </c>
    </row>
    <row r="14">
      <c r="A14" s="9" t="str">
        <f>solver_typ=1</f>
        <v>#NAME?</v>
      </c>
    </row>
    <row r="15">
      <c r="A15" s="9" t="str">
        <f>solver_val=0</f>
        <v>#NAME?</v>
      </c>
    </row>
  </sheetData>
  <drawing r:id="rId1"/>
</worksheet>
</file>